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3a6381e76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_Demand" sheetId="1" r:id="Rf79acb00847f48c6"/>
    <x:sheet xmlns:r="http://schemas.openxmlformats.org/officeDocument/2006/relationships" name="Parameters" sheetId="2" r:id="R5daf3cd4a0e94847"/>
    <x:sheet xmlns:r="http://schemas.openxmlformats.org/officeDocument/2006/relationships" name="Distance_Matrix" sheetId="3" r:id="Rc306d3a792734d38"/>
    <x:sheet xmlns:r="http://schemas.openxmlformats.org/officeDocument/2006/relationships" name="Travel_Time_Matrix" sheetId="4" r:id="R61d8a940946843ef"/>
    <x:sheet xmlns:r="http://schemas.openxmlformats.org/officeDocument/2006/relationships" name="Route_Allowed" sheetId="5" r:id="R8d4a023ff3654bb4"/>
    <x:sheet xmlns:r="http://schemas.openxmlformats.org/officeDocument/2006/relationships" name="Data_Dictionary" sheetId="6" r:id="Rf638f355222e45e5"/>
    <x:sheet xmlns:r="http://schemas.openxmlformats.org/officeDocument/2006/relationships" name="Quantum_Ready" sheetId="7" r:id="Rcef1a9474d2d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0"/>
    <x:numFmt numFmtId="202" formatCode="0.00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8b410d7c44081" /><Relationship Type="http://schemas.openxmlformats.org/officeDocument/2006/relationships/theme" Target="/xl/theme/theme1.xml" Id="Ra5585bc145454569" /><Relationship Type="http://schemas.openxmlformats.org/officeDocument/2006/relationships/sharedStrings" Target="/xl/sharedStrings.xml" Id="R2e000687a0a1402e" /><Relationship Type="http://schemas.openxmlformats.org/officeDocument/2006/relationships/worksheet" Target="/xl/worksheets/sheet1.xml" Id="Rf79acb00847f48c6" /><Relationship Type="http://schemas.openxmlformats.org/officeDocument/2006/relationships/worksheet" Target="/xl/worksheets/sheet2.xml" Id="R5daf3cd4a0e94847" /><Relationship Type="http://schemas.openxmlformats.org/officeDocument/2006/relationships/worksheet" Target="/xl/worksheets/sheet3.xml" Id="Rc306d3a792734d38" /><Relationship Type="http://schemas.openxmlformats.org/officeDocument/2006/relationships/worksheet" Target="/xl/worksheets/sheet4.xml" Id="R61d8a940946843ef" /><Relationship Type="http://schemas.openxmlformats.org/officeDocument/2006/relationships/worksheet" Target="/xl/worksheets/sheet5.xml" Id="R8d4a023ff3654bb4" /><Relationship Type="http://schemas.openxmlformats.org/officeDocument/2006/relationships/worksheet" Target="/xl/worksheets/sheet6.xml" Id="Rf638f355222e45e5" /><Relationship Type="http://schemas.openxmlformats.org/officeDocument/2006/relationships/worksheet" Target="/xl/worksheets/sheet7.xml" Id="Rcef1a9474d2d4cf3" /></Relationships>
</file>

<file path=xl/tables/table1.xml><?xml version="1.0" encoding="utf-8"?>
<x:table xmlns:x="http://schemas.openxmlformats.org/spreadsheetml/2006/main" id="1" name="NodesDemandTable" displayName="NodesDemandTable" ref="A1:G9" headerRowCount="1" totalsRowCount="0" totalsRowShown="0">
  <x:tableColumns count="7">
    <x:tableColumn id="1" name="Node_ID"/>
    <x:tableColumn id="2" name="Location"/>
    <x:tableColumn id="3" name="Type"/>
    <x:tableColumn id="4" name="Latitude"/>
    <x:tableColumn id="5" name="Longitude"/>
    <x:tableColumn id="6" name="Demand_tonnes"/>
    <x:tableColumn id="7" name="Depot_Stock_ton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metersTable" displayName="ParametersTable" ref="A1:D10" headerRowCount="1" totalsRowCount="0" totalsRowShown="0">
  <x:tableColumns count="4">
    <x:tableColumn id="1" name="Parameter"/>
    <x:tableColumn id="2" name="Value"/>
    <x:tableColumn id="3" name="Unit"/>
    <x:tableColumn id="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D18" headerRowCount="1" totalsRowCount="0" totalsRowShown="0">
  <x:tableColumns count="4">
    <x:tableColumn id="1" name="Field / Symbol"/>
    <x:tableColumn id="2" name="Meaning"/>
    <x:tableColumn id="3" name="Unit / Type"/>
    <x:tableColumn id="4" name="Use in Mod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055af985b849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f56a0cf40e44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c0e58f7badf4143" /></Relationships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16" hidden="0" customWidth="1"/>
    <x:col min="3" max="3" width="6" hidden="0" customWidth="1"/>
    <x:col min="4" max="4" width="8.130000114440918" hidden="0" customWidth="1"/>
    <x:col min="5" max="5" width="8.5" hidden="0" customWidth="1"/>
    <x:col min="6" max="6" width="13.130000114440918" hidden="0" customWidth="1"/>
    <x:col min="7" max="7" width="16.3799991607666" hidden="0" customWidth="1"/>
  </x:cols>
  <x:sheetData>
    <x:row r="1">
      <x:c r="A1" s="14" t="str">
        <x:v>Node_ID</x:v>
      </x:c>
      <x:c r="B1" s="14" t="str">
        <x:v>Location</x:v>
      </x:c>
      <x:c r="C1" s="14" t="str">
        <x:v>Type</x:v>
      </x:c>
      <x:c r="D1" s="14" t="str">
        <x:v>Latitude</x:v>
      </x:c>
      <x:c r="E1" s="14" t="str">
        <x:v>Longitude</x:v>
      </x:c>
      <x:c r="F1" s="14" t="str">
        <x:v>Demand_tonnes</x:v>
      </x:c>
      <x:c r="G1" s="14" t="str">
        <x:v>Depot_Stock_tonnes</x:v>
      </x:c>
    </x:row>
    <x:row r="2">
      <x:c r="A2" s="15" t="n">
        <x:v>0</x:v>
      </x:c>
      <x:c r="B2" s="15" t="str">
        <x:v>Karatina</x:v>
      </x:c>
      <x:c r="C2" s="15" t="str">
        <x:v>Depot</x:v>
      </x:c>
      <x:c r="D2" s="16" t="n">
        <x:v>-0.475695</x:v>
      </x:c>
      <x:c r="E2" s="16" t="n">
        <x:v>37.130377</x:v>
      </x:c>
      <x:c r="F2" s="17" t="n">
        <x:v>0</x:v>
      </x:c>
      <x:c r="G2" s="17" t="n">
        <x:v>410</x:v>
      </x:c>
    </x:row>
    <x:row r="3">
      <x:c r="A3" s="15" t="n">
        <x:v>1</x:v>
      </x:c>
      <x:c r="B3" s="15" t="str">
        <x:v>Ragati</x:v>
      </x:c>
      <x:c r="C3" s="15" t="str">
        <x:v>Factory</x:v>
      </x:c>
      <x:c r="D3" s="16" t="n">
        <x:v>-0.391</x:v>
      </x:c>
      <x:c r="E3" s="16" t="n">
        <x:v>37.1589</x:v>
      </x:c>
      <x:c r="F3" s="17" t="n">
        <x:v>28.38</x:v>
      </x:c>
      <x:c r="G3" s="17"/>
    </x:row>
    <x:row r="4">
      <x:c r="A4" s="15" t="n">
        <x:v>2</x:v>
      </x:c>
      <x:c r="B4" s="15" t="str">
        <x:v>Nguguini</x:v>
      </x:c>
      <x:c r="C4" s="15" t="str">
        <x:v>Factory</x:v>
      </x:c>
      <x:c r="D4" s="16" t="n">
        <x:v>-0.4311</x:v>
      </x:c>
      <x:c r="E4" s="16" t="n">
        <x:v>37.2278</x:v>
      </x:c>
      <x:c r="F4" s="17" t="n">
        <x:v>73.092</x:v>
      </x:c>
      <x:c r="G4" s="17"/>
    </x:row>
    <x:row r="5">
      <x:c r="A5" s="15" t="n">
        <x:v>3</x:v>
      </x:c>
      <x:c r="B5" s="15" t="str">
        <x:v>Kiangai</x:v>
      </x:c>
      <x:c r="C5" s="15" t="str">
        <x:v>Factory</x:v>
      </x:c>
      <x:c r="D5" s="16" t="n">
        <x:v>-0.5833</x:v>
      </x:c>
      <x:c r="E5" s="16" t="n">
        <x:v>37.2333</x:v>
      </x:c>
      <x:c r="F5" s="17" t="n">
        <x:v>36.489</x:v>
      </x:c>
      <x:c r="G5" s="17"/>
    </x:row>
    <x:row r="6">
      <x:c r="A6" s="15" t="n">
        <x:v>4</x:v>
      </x:c>
      <x:c r="B6" s="15" t="str">
        <x:v>Thunguri</x:v>
      </x:c>
      <x:c r="C6" s="15" t="str">
        <x:v>Factory</x:v>
      </x:c>
      <x:c r="D6" s="16" t="n">
        <x:v>-0.57105</x:v>
      </x:c>
      <x:c r="E6" s="16" t="n">
        <x:v>37.0236</x:v>
      </x:c>
      <x:c r="F6" s="17" t="n">
        <x:v>37.17</x:v>
      </x:c>
      <x:c r="G6" s="17"/>
    </x:row>
    <x:row r="7">
      <x:c r="A7" s="15" t="n">
        <x:v>5</x:v>
      </x:c>
      <x:c r="B7" s="15" t="str">
        <x:v>Kianjega</x:v>
      </x:c>
      <x:c r="C7" s="15" t="str">
        <x:v>Factory</x:v>
      </x:c>
      <x:c r="D7" s="16" t="n">
        <x:v>-0.563415</x:v>
      </x:c>
      <x:c r="E7" s="16" t="n">
        <x:v>37.187604</x:v>
      </x:c>
      <x:c r="F7" s="17" t="n">
        <x:v>24.522</x:v>
      </x:c>
      <x:c r="G7" s="17"/>
    </x:row>
    <x:row r="8">
      <x:c r="A8" s="15" t="n">
        <x:v>6</x:v>
      </x:c>
      <x:c r="B8" s="15" t="str">
        <x:v>Chema</x:v>
      </x:c>
      <x:c r="C8" s="15" t="str">
        <x:v>Factory</x:v>
      </x:c>
      <x:c r="D8" s="16" t="n">
        <x:v>-0.4485</x:v>
      </x:c>
      <x:c r="E8" s="16" t="n">
        <x:v>37.199</x:v>
      </x:c>
      <x:c r="F8" s="17" t="n">
        <x:v>10.848</x:v>
      </x:c>
      <x:c r="G8" s="17"/>
    </x:row>
    <x:row r="9">
      <x:c r="A9" s="15" t="n">
        <x:v>7</x:v>
      </x:c>
      <x:c r="B9" s="15" t="str">
        <x:v>Mukangu</x:v>
      </x:c>
      <x:c r="C9" s="15" t="str">
        <x:v>Factory</x:v>
      </x:c>
      <x:c r="D9" s="16" t="n">
        <x:v>-0.55</x:v>
      </x:c>
      <x:c r="E9" s="16" t="n">
        <x:v>37.15</x:v>
      </x:c>
      <x:c r="F9" s="17" t="n">
        <x:v>23.199</x:v>
      </x:c>
      <x:c r="G9" s="17"/>
    </x:row>
  </x:sheetData>
  <x:pageMargins left="0.7" right="0.7" top="0.75" bottom="0.75" header="0.3" footer="0.3"/>
  <x:tableParts count="1">
    <x:tablePart xmlns:r="http://schemas.openxmlformats.org/officeDocument/2006/relationships" r:id="Re2055af985b849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.630000114440918" hidden="0" customWidth="1"/>
    <x:col min="3" max="3" width="11.25" hidden="0" customWidth="1"/>
    <x:col min="4" max="4" width="42" hidden="0" customWidth="1"/>
  </x:cols>
  <x:sheetData>
    <x:row r="1">
      <x:c r="A1" s="14" t="str">
        <x:v>Parameter</x:v>
      </x:c>
      <x:c r="B1" s="14" t="str">
        <x:v>Value</x:v>
      </x:c>
      <x:c r="C1" s="14" t="str">
        <x:v>Unit</x:v>
      </x:c>
      <x:c r="D1" s="14" t="str">
        <x:v>Notes</x:v>
      </x:c>
    </x:row>
    <x:row r="2">
      <x:c r="A2" s="15" t="str">
        <x:v>Depot</x:v>
      </x:c>
      <x:c r="B2" s="17" t="str">
        <x:v>Karatina</x:v>
      </x:c>
      <x:c r="C2" s="15" t="str"/>
      <x:c r="D2" s="15" t="str">
        <x:v>Only depot in the current dataset</x:v>
      </x:c>
    </x:row>
    <x:row r="3">
      <x:c r="A3" s="15" t="str">
        <x:v>Depot stock</x:v>
      </x:c>
      <x:c r="B3" s="17" t="n">
        <x:v>410</x:v>
      </x:c>
      <x:c r="C3" s="15" t="str">
        <x:v>tonnes</x:v>
      </x:c>
      <x:c r="D3" s="15" t="str">
        <x:v>Total fertilizer available at Karatina</x:v>
      </x:c>
    </x:row>
    <x:row r="4">
      <x:c r="A4" s="15" t="str">
        <x:v>Total factory demand</x:v>
      </x:c>
      <x:c r="B4" s="17" t="n">
        <x:v>233.7</x:v>
      </x:c>
      <x:c r="C4" s="15" t="str">
        <x:v>tonnes</x:v>
      </x:c>
      <x:c r="D4" s="15" t="str">
        <x:v>Sum of all 7 factory demands</x:v>
      </x:c>
    </x:row>
    <x:row r="5">
      <x:c r="A5" s="15" t="str">
        <x:v>Remaining stock after full fulfillment</x:v>
      </x:c>
      <x:c r="B5" s="17" t="n">
        <x:f>B3-B4</x:f>
        <x:v>176.3</x:v>
      </x:c>
      <x:c r="C5" s="15" t="str">
        <x:v>tonnes</x:v>
      </x:c>
      <x:c r="D5" s="15" t="str">
        <x:v>Formula: depot stock - total demand</x:v>
      </x:c>
    </x:row>
    <x:row r="6">
      <x:c r="A6" s="15" t="str">
        <x:v>Truck capacity</x:v>
      </x:c>
      <x:c r="B6" s="17" t="n">
        <x:v>10</x:v>
      </x:c>
      <x:c r="C6" s="15" t="str">
        <x:v>tonnes</x:v>
      </x:c>
      <x:c r="D6" s="15" t="str">
        <x:v>Maximum fertilizer carried per trip</x:v>
      </x:c>
    </x:row>
    <x:row r="7">
      <x:c r="A7" s="15" t="str">
        <x:v>Transport rate</x:v>
      </x:c>
      <x:c r="B7" s="17" t="n">
        <x:v>16</x:v>
      </x:c>
      <x:c r="C7" s="15" t="str">
        <x:v>KSh/tonne-km</x:v>
      </x:c>
      <x:c r="D7" s="15" t="str">
        <x:v>Cost rate used in classical model</x:v>
      </x:c>
    </x:row>
    <x:row r="8">
      <x:c r="A8" s="15" t="str">
        <x:v>Maximum route duration</x:v>
      </x:c>
      <x:c r="B8" s="17" t="n">
        <x:v>8</x:v>
      </x:c>
      <x:c r="C8" s="15" t="str">
        <x:v>hours</x:v>
      </x:c>
      <x:c r="D8" s="15" t="str">
        <x:v>Maximum time per route</x:v>
      </x:c>
    </x:row>
    <x:row r="9">
      <x:c r="A9" s="15" t="str">
        <x:v>Dispatch period</x:v>
      </x:c>
      <x:c r="B9" s="17" t="n">
        <x:v>10</x:v>
      </x:c>
      <x:c r="C9" s="15" t="str">
        <x:v>days</x:v>
      </x:c>
      <x:c r="D9" s="15" t="str">
        <x:v>Hackathon benchmark assumption</x:v>
      </x:c>
    </x:row>
    <x:row r="10">
      <x:c r="A10" s="15" t="str">
        <x:v>Minimum theoretical truck loads</x:v>
      </x:c>
      <x:c r="B10" s="17" t="n">
        <x:f>CEILING(B4/B6,1)</x:f>
        <x:v>24</x:v>
      </x:c>
      <x:c r="C10" s="15" t="str">
        <x:v>trips</x:v>
      </x:c>
      <x:c r="D10" s="15" t="str">
        <x:v>Formula: CEILING(total demand / truck capacity)</x:v>
      </x:c>
    </x:row>
  </x:sheetData>
  <x:pageMargins left="0.7" right="0.7" top="0.75" bottom="0.75" header="0.3" footer="0.3"/>
  <x:tableParts count="1">
    <x:tablePart xmlns:r="http://schemas.openxmlformats.org/officeDocument/2006/relationships" r:id="Rfef56a0cf40e44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.880000114440918" hidden="0" customWidth="1"/>
    <x:col min="3" max="3" width="5.25" hidden="0" customWidth="1"/>
    <x:col min="4" max="4" width="7.380000114440918" hidden="0" customWidth="1"/>
    <x:col min="5" max="5" width="6.130000114440918" hidden="0" customWidth="1"/>
    <x:col min="6" max="6" width="7.380000114440918" hidden="0" customWidth="1"/>
    <x:col min="7" max="7" width="7" hidden="0" customWidth="1"/>
    <x:col min="8" max="8" width="5.880000114440918" hidden="0" customWidth="1"/>
    <x:col min="9" max="9" width="7.75" hidden="0" customWidth="1"/>
  </x:cols>
  <x:sheetData>
    <x:row r="1">
      <x:c r="A1" s="5" t="str">
        <x:v>From/To</x:v>
      </x:c>
      <x:c r="B1" s="5" t="str">
        <x:v>Karatina</x:v>
      </x:c>
      <x:c r="C1" s="5" t="str">
        <x:v>Ragati</x:v>
      </x:c>
      <x:c r="D1" s="5" t="str">
        <x:v>Nguguini</x:v>
      </x:c>
      <x:c r="E1" s="5" t="str">
        <x:v>Kiangai</x:v>
      </x:c>
      <x:c r="F1" s="5" t="str">
        <x:v>Thunguri</x:v>
      </x:c>
      <x:c r="G1" s="5" t="str">
        <x:v>Kianjega</x:v>
      </x:c>
      <x:c r="H1" s="5" t="str">
        <x:v>Chema</x:v>
      </x:c>
      <x:c r="I1" s="5" t="str">
        <x:v>Mukangu</x:v>
      </x:c>
    </x:row>
    <x:row r="2">
      <x:c r="A2" s="25" t="str">
        <x:v>Karatina</x:v>
      </x:c>
      <x:c r="B2" s="30" t="n">
        <x:v>0</x:v>
      </x:c>
      <x:c r="C2" s="30" t="n">
        <x:v>11.82</x:v>
      </x:c>
      <x:c r="D2" s="30" t="n">
        <x:v>18.92</x:v>
      </x:c>
      <x:c r="E2" s="30" t="n">
        <x:v>20.02</x:v>
      </x:c>
      <x:c r="F2" s="30" t="n">
        <x:v>23.13</x:v>
      </x:c>
      <x:c r="G2" s="30" t="n">
        <x:v>13.11</x:v>
      </x:c>
      <x:c r="H2" s="30" t="n">
        <x:v>11.95</x:v>
      </x:c>
      <x:c r="I2" s="30" t="n">
        <x:v>10.08</x:v>
      </x:c>
    </x:row>
    <x:row r="3">
      <x:c r="A3" s="25" t="str">
        <x:v>Ragati</x:v>
      </x:c>
      <x:c r="B3" s="30" t="n">
        <x:v>11.82</x:v>
      </x:c>
      <x:c r="C3" s="30" t="n">
        <x:v>0</x:v>
      </x:c>
      <x:c r="D3" s="30" t="n">
        <x:v>15.86</x:v>
      </x:c>
      <x:c r="E3" s="30" t="n">
        <x:v>29.64</x:v>
      </x:c>
      <x:c r="F3" s="30" t="n">
        <x:v>34.81</x:v>
      </x:c>
      <x:c r="G3" s="30" t="n">
        <x:v>25.51</x:v>
      </x:c>
      <x:c r="H3" s="30" t="n">
        <x:v>11.53</x:v>
      </x:c>
      <x:c r="I3" s="30" t="n">
        <x:v>21.86</x:v>
      </x:c>
    </x:row>
    <x:row r="4">
      <x:c r="A4" s="25" t="str">
        <x:v>Nguguini</x:v>
      </x:c>
      <x:c r="B4" s="30" t="n">
        <x:v>18.92</x:v>
      </x:c>
      <x:c r="C4" s="30" t="n">
        <x:v>15.86</x:v>
      </x:c>
      <x:c r="D4" s="30" t="n">
        <x:v>0</x:v>
      </x:c>
      <x:c r="E4" s="30" t="n">
        <x:v>19.08</x:v>
      </x:c>
      <x:c r="F4" s="30" t="n">
        <x:v>40.65</x:v>
      </x:c>
      <x:c r="G4" s="30" t="n">
        <x:v>20.23</x:v>
      </x:c>
      <x:c r="H4" s="30" t="n">
        <x:v>9.84</x:v>
      </x:c>
      <x:c r="I4" s="30" t="n">
        <x:v>24.95</x:v>
      </x:c>
    </x:row>
    <x:row r="5">
      <x:c r="A5" s="25" t="str">
        <x:v>Kiangai</x:v>
      </x:c>
      <x:c r="B5" s="30" t="n">
        <x:v>20.02</x:v>
      </x:c>
      <x:c r="C5" s="30" t="n">
        <x:v>29.64</x:v>
      </x:c>
      <x:c r="D5" s="30" t="n">
        <x:v>19.08</x:v>
      </x:c>
      <x:c r="E5" s="30" t="n">
        <x:v>0</x:v>
      </x:c>
      <x:c r="F5" s="30" t="n">
        <x:v>38.9</x:v>
      </x:c>
      <x:c r="G5" s="30" t="n">
        <x:v>7.71</x:v>
      </x:c>
      <x:c r="H5" s="30" t="n">
        <x:v>21.17</x:v>
      </x:c>
      <x:c r="I5" s="30" t="n">
        <x:v>21.38</x:v>
      </x:c>
    </x:row>
    <x:row r="6">
      <x:c r="A6" s="25" t="str">
        <x:v>Thunguri</x:v>
      </x:c>
      <x:c r="B6" s="30" t="n">
        <x:v>23.13</x:v>
      </x:c>
      <x:c r="C6" s="30" t="n">
        <x:v>34.81</x:v>
      </x:c>
      <x:c r="D6" s="30" t="n">
        <x:v>40.65</x:v>
      </x:c>
      <x:c r="E6" s="30" t="n">
        <x:v>38.9</x:v>
      </x:c>
      <x:c r="F6" s="30" t="n">
        <x:v>0</x:v>
      </x:c>
      <x:c r="G6" s="30" t="n">
        <x:v>32.26</x:v>
      </x:c>
      <x:c r="H6" s="30" t="n">
        <x:v>33.69</x:v>
      </x:c>
      <x:c r="I6" s="30" t="n">
        <x:v>24.62</x:v>
      </x:c>
    </x:row>
    <x:row r="7">
      <x:c r="A7" s="25" t="str">
        <x:v>Kianjega</x:v>
      </x:c>
      <x:c r="B7" s="30" t="n">
        <x:v>13.11</x:v>
      </x:c>
      <x:c r="C7" s="30" t="n">
        <x:v>25.51</x:v>
      </x:c>
      <x:c r="D7" s="30" t="n">
        <x:v>20.23</x:v>
      </x:c>
      <x:c r="E7" s="30" t="n">
        <x:v>7.71</x:v>
      </x:c>
      <x:c r="F7" s="30" t="n">
        <x:v>32.26</x:v>
      </x:c>
      <x:c r="G7" s="30" t="n">
        <x:v>0</x:v>
      </x:c>
      <x:c r="H7" s="30" t="n">
        <x:v>19.38</x:v>
      </x:c>
      <x:c r="I7" s="30" t="n">
        <x:v>14.75</x:v>
      </x:c>
    </x:row>
    <x:row r="8">
      <x:c r="A8" s="25" t="str">
        <x:v>Chema</x:v>
      </x:c>
      <x:c r="B8" s="30" t="n">
        <x:v>11.95</x:v>
      </x:c>
      <x:c r="C8" s="30" t="n">
        <x:v>11.53</x:v>
      </x:c>
      <x:c r="D8" s="30" t="n">
        <x:v>9.84</x:v>
      </x:c>
      <x:c r="E8" s="30" t="n">
        <x:v>21.17</x:v>
      </x:c>
      <x:c r="F8" s="30" t="n">
        <x:v>33.69</x:v>
      </x:c>
      <x:c r="G8" s="30" t="n">
        <x:v>19.38</x:v>
      </x:c>
      <x:c r="H8" s="30" t="n">
        <x:v>0</x:v>
      </x:c>
      <x:c r="I8" s="30" t="n">
        <x:v>18.26</x:v>
      </x:c>
    </x:row>
    <x:row r="9">
      <x:c r="A9" s="25" t="str">
        <x:v>Mukangu</x:v>
      </x:c>
      <x:c r="B9" s="30" t="n">
        <x:v>10.08</x:v>
      </x:c>
      <x:c r="C9" s="30" t="n">
        <x:v>21.86</x:v>
      </x:c>
      <x:c r="D9" s="30" t="n">
        <x:v>24.95</x:v>
      </x:c>
      <x:c r="E9" s="30" t="n">
        <x:v>21.38</x:v>
      </x:c>
      <x:c r="F9" s="30" t="n">
        <x:v>24.62</x:v>
      </x:c>
      <x:c r="G9" s="30" t="n">
        <x:v>14.75</x:v>
      </x:c>
      <x:c r="H9" s="30" t="n">
        <x:v>18.26</x:v>
      </x:c>
      <x:c r="I9" s="30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.880000114440918" hidden="0" customWidth="1"/>
    <x:col min="3" max="3" width="5.25" hidden="0" customWidth="1"/>
    <x:col min="4" max="4" width="7.380000114440918" hidden="0" customWidth="1"/>
    <x:col min="5" max="5" width="6.130000114440918" hidden="0" customWidth="1"/>
    <x:col min="6" max="6" width="7.380000114440918" hidden="0" customWidth="1"/>
    <x:col min="7" max="7" width="7" hidden="0" customWidth="1"/>
    <x:col min="8" max="8" width="5.880000114440918" hidden="0" customWidth="1"/>
    <x:col min="9" max="9" width="7.75" hidden="0" customWidth="1"/>
  </x:cols>
  <x:sheetData>
    <x:row r="1">
      <x:c r="A1" s="5" t="str">
        <x:v>From/To</x:v>
      </x:c>
      <x:c r="B1" s="5" t="str">
        <x:v>Karatina</x:v>
      </x:c>
      <x:c r="C1" s="5" t="str">
        <x:v>Ragati</x:v>
      </x:c>
      <x:c r="D1" s="5" t="str">
        <x:v>Nguguini</x:v>
      </x:c>
      <x:c r="E1" s="5" t="str">
        <x:v>Kiangai</x:v>
      </x:c>
      <x:c r="F1" s="5" t="str">
        <x:v>Thunguri</x:v>
      </x:c>
      <x:c r="G1" s="5" t="str">
        <x:v>Kianjega</x:v>
      </x:c>
      <x:c r="H1" s="5" t="str">
        <x:v>Chema</x:v>
      </x:c>
      <x:c r="I1" s="5" t="str">
        <x:v>Mukangu</x:v>
      </x:c>
    </x:row>
    <x:row r="2">
      <x:c r="A2" s="25" t="str">
        <x:v>Karatina</x:v>
      </x:c>
      <x:c r="B2" s="30" t="n">
        <x:v>0</x:v>
      </x:c>
      <x:c r="C2" s="30" t="n">
        <x:v>0.27</x:v>
      </x:c>
      <x:c r="D2" s="30" t="n">
        <x:v>0.44</x:v>
      </x:c>
      <x:c r="E2" s="30" t="n">
        <x:v>0.29</x:v>
      </x:c>
      <x:c r="F2" s="30" t="n">
        <x:v>0.52</x:v>
      </x:c>
      <x:c r="G2" s="30" t="n">
        <x:v>0.14</x:v>
      </x:c>
      <x:c r="H2" s="30" t="n">
        <x:v>0.28</x:v>
      </x:c>
      <x:c r="I2" s="30" t="n">
        <x:v>0.22</x:v>
      </x:c>
    </x:row>
    <x:row r="3">
      <x:c r="A3" s="25" t="str">
        <x:v>Ragati</x:v>
      </x:c>
      <x:c r="B3" s="30" t="n">
        <x:v>0.27</x:v>
      </x:c>
      <x:c r="C3" s="30" t="n">
        <x:v>0</x:v>
      </x:c>
      <x:c r="D3" s="30" t="n">
        <x:v>0.38</x:v>
      </x:c>
      <x:c r="E3" s="30" t="n">
        <x:v>0.55</x:v>
      </x:c>
      <x:c r="F3" s="30" t="n">
        <x:v>0.79</x:v>
      </x:c>
      <x:c r="G3" s="30" t="n">
        <x:v>0.42</x:v>
      </x:c>
      <x:c r="H3" s="30" t="n">
        <x:v>0.28</x:v>
      </x:c>
      <x:c r="I3" s="30" t="n">
        <x:v>0.47</x:v>
      </x:c>
    </x:row>
    <x:row r="4">
      <x:c r="A4" s="25" t="str">
        <x:v>Nguguini</x:v>
      </x:c>
      <x:c r="B4" s="30" t="n">
        <x:v>0.44</x:v>
      </x:c>
      <x:c r="C4" s="30" t="n">
        <x:v>0.38</x:v>
      </x:c>
      <x:c r="D4" s="30" t="n">
        <x:v>0</x:v>
      </x:c>
      <x:c r="E4" s="30" t="n">
        <x:v>0.44</x:v>
      </x:c>
      <x:c r="F4" s="30" t="n">
        <x:v>0.92</x:v>
      </x:c>
      <x:c r="G4" s="30" t="n">
        <x:v>0.43</x:v>
      </x:c>
      <x:c r="H4" s="30" t="n">
        <x:v>0.23</x:v>
      </x:c>
      <x:c r="I4" s="30" t="n">
        <x:v>0.57</x:v>
      </x:c>
    </x:row>
    <x:row r="5">
      <x:c r="A5" s="25" t="str">
        <x:v>Kiangai</x:v>
      </x:c>
      <x:c r="B5" s="30" t="n">
        <x:v>0.29</x:v>
      </x:c>
      <x:c r="C5" s="30" t="n">
        <x:v>0.55</x:v>
      </x:c>
      <x:c r="D5" s="30" t="n">
        <x:v>0.44</x:v>
      </x:c>
      <x:c r="E5" s="30" t="n">
        <x:v>0</x:v>
      </x:c>
      <x:c r="F5" s="30" t="n">
        <x:v>0.79</x:v>
      </x:c>
      <x:c r="G5" s="30" t="n">
        <x:v>0.15</x:v>
      </x:c>
      <x:c r="H5" s="30" t="n">
        <x:v>0.51</x:v>
      </x:c>
      <x:c r="I5" s="30" t="n">
        <x:v>0.43</x:v>
      </x:c>
    </x:row>
    <x:row r="6">
      <x:c r="A6" s="25" t="str">
        <x:v>Thunguri</x:v>
      </x:c>
      <x:c r="B6" s="30" t="n">
        <x:v>0.52</x:v>
      </x:c>
      <x:c r="C6" s="30" t="n">
        <x:v>0.79</x:v>
      </x:c>
      <x:c r="D6" s="30" t="n">
        <x:v>0.92</x:v>
      </x:c>
      <x:c r="E6" s="30" t="n">
        <x:v>0.79</x:v>
      </x:c>
      <x:c r="F6" s="30" t="n">
        <x:v>0</x:v>
      </x:c>
      <x:c r="G6" s="30" t="n">
        <x:v>0.63</x:v>
      </x:c>
      <x:c r="H6" s="30" t="n">
        <x:v>0.75</x:v>
      </x:c>
      <x:c r="I6" s="30" t="n">
        <x:v>0.56</x:v>
      </x:c>
    </x:row>
    <x:row r="7">
      <x:c r="A7" s="25" t="str">
        <x:v>Kianjega</x:v>
      </x:c>
      <x:c r="B7" s="30" t="n">
        <x:v>0.14</x:v>
      </x:c>
      <x:c r="C7" s="30" t="n">
        <x:v>0.42</x:v>
      </x:c>
      <x:c r="D7" s="30" t="n">
        <x:v>0.43</x:v>
      </x:c>
      <x:c r="E7" s="30" t="n">
        <x:v>0.15</x:v>
      </x:c>
      <x:c r="F7" s="30" t="n">
        <x:v>0.63</x:v>
      </x:c>
      <x:c r="G7" s="30" t="n">
        <x:v>0</x:v>
      </x:c>
      <x:c r="H7" s="30" t="n">
        <x:v>0.35</x:v>
      </x:c>
      <x:c r="I7" s="30" t="n">
        <x:v>0.28</x:v>
      </x:c>
    </x:row>
    <x:row r="8">
      <x:c r="A8" s="25" t="str">
        <x:v>Chema</x:v>
      </x:c>
      <x:c r="B8" s="30" t="n">
        <x:v>0.28</x:v>
      </x:c>
      <x:c r="C8" s="30" t="n">
        <x:v>0.28</x:v>
      </x:c>
      <x:c r="D8" s="30" t="n">
        <x:v>0.23</x:v>
      </x:c>
      <x:c r="E8" s="30" t="n">
        <x:v>0.51</x:v>
      </x:c>
      <x:c r="F8" s="30" t="n">
        <x:v>0.75</x:v>
      </x:c>
      <x:c r="G8" s="30" t="n">
        <x:v>0.35</x:v>
      </x:c>
      <x:c r="H8" s="30" t="n">
        <x:v>0</x:v>
      </x:c>
      <x:c r="I8" s="30" t="n">
        <x:v>0.41</x:v>
      </x:c>
    </x:row>
    <x:row r="9">
      <x:c r="A9" s="25" t="str">
        <x:v>Mukangu</x:v>
      </x:c>
      <x:c r="B9" s="30" t="n">
        <x:v>0.22</x:v>
      </x:c>
      <x:c r="C9" s="30" t="n">
        <x:v>0.47</x:v>
      </x:c>
      <x:c r="D9" s="30" t="n">
        <x:v>0.57</x:v>
      </x:c>
      <x:c r="E9" s="30" t="n">
        <x:v>0.43</x:v>
      </x:c>
      <x:c r="F9" s="30" t="n">
        <x:v>0.56</x:v>
      </x:c>
      <x:c r="G9" s="30" t="n">
        <x:v>0.28</x:v>
      </x:c>
      <x:c r="H9" s="30" t="n">
        <x:v>0.41</x:v>
      </x:c>
      <x:c r="I9" s="30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.880000114440918" hidden="0" customWidth="1"/>
    <x:col min="3" max="3" width="5.25" hidden="0" customWidth="1"/>
    <x:col min="4" max="4" width="7.380000114440918" hidden="0" customWidth="1"/>
    <x:col min="5" max="5" width="6.130000114440918" hidden="0" customWidth="1"/>
    <x:col min="6" max="6" width="7.380000114440918" hidden="0" customWidth="1"/>
    <x:col min="7" max="7" width="7" hidden="0" customWidth="1"/>
    <x:col min="8" max="8" width="5.880000114440918" hidden="0" customWidth="1"/>
    <x:col min="9" max="9" width="7.75" hidden="0" customWidth="1"/>
  </x:cols>
  <x:sheetData>
    <x:row r="1">
      <x:c r="A1" s="5" t="str">
        <x:v>From/To</x:v>
      </x:c>
      <x:c r="B1" s="5" t="str">
        <x:v>Karatina</x:v>
      </x:c>
      <x:c r="C1" s="5" t="str">
        <x:v>Ragati</x:v>
      </x:c>
      <x:c r="D1" s="5" t="str">
        <x:v>Nguguini</x:v>
      </x:c>
      <x:c r="E1" s="5" t="str">
        <x:v>Kiangai</x:v>
      </x:c>
      <x:c r="F1" s="5" t="str">
        <x:v>Thunguri</x:v>
      </x:c>
      <x:c r="G1" s="5" t="str">
        <x:v>Kianjega</x:v>
      </x:c>
      <x:c r="H1" s="5" t="str">
        <x:v>Chema</x:v>
      </x:c>
      <x:c r="I1" s="5" t="str">
        <x:v>Mukangu</x:v>
      </x:c>
    </x:row>
    <x:row r="2">
      <x:c r="A2" s="25" t="str">
        <x:v>Karatina</x:v>
      </x:c>
      <x:c r="B2" s="32" t="n">
        <x:v>0</x:v>
      </x:c>
      <x:c r="C2" s="32" t="n">
        <x:v>1</x:v>
      </x:c>
      <x:c r="D2" s="32" t="n">
        <x:v>1</x:v>
      </x:c>
      <x:c r="E2" s="32" t="n">
        <x:v>1</x:v>
      </x:c>
      <x:c r="F2" s="32" t="n">
        <x:v>1</x:v>
      </x:c>
      <x:c r="G2" s="32" t="n">
        <x:v>1</x:v>
      </x:c>
      <x:c r="H2" s="32" t="n">
        <x:v>1</x:v>
      </x:c>
      <x:c r="I2" s="32" t="n">
        <x:v>1</x:v>
      </x:c>
    </x:row>
    <x:row r="3">
      <x:c r="A3" s="25" t="str">
        <x:v>Ragati</x:v>
      </x:c>
      <x:c r="B3" s="32" t="n">
        <x:v>1</x:v>
      </x:c>
      <x:c r="C3" s="32" t="n">
        <x:v>0</x:v>
      </x:c>
      <x:c r="D3" s="32" t="n">
        <x:v>1</x:v>
      </x:c>
      <x:c r="E3" s="32" t="n">
        <x:v>1</x:v>
      </x:c>
      <x:c r="F3" s="32" t="n">
        <x:v>1</x:v>
      </x:c>
      <x:c r="G3" s="32" t="n">
        <x:v>1</x:v>
      </x:c>
      <x:c r="H3" s="32" t="n">
        <x:v>1</x:v>
      </x:c>
      <x:c r="I3" s="32" t="n">
        <x:v>1</x:v>
      </x:c>
    </x:row>
    <x:row r="4">
      <x:c r="A4" s="25" t="str">
        <x:v>Nguguini</x:v>
      </x:c>
      <x:c r="B4" s="32" t="n">
        <x:v>1</x:v>
      </x:c>
      <x:c r="C4" s="32" t="n">
        <x:v>1</x:v>
      </x:c>
      <x:c r="D4" s="32" t="n">
        <x:v>0</x:v>
      </x:c>
      <x:c r="E4" s="32" t="n">
        <x:v>1</x:v>
      </x:c>
      <x:c r="F4" s="32" t="n">
        <x:v>1</x:v>
      </x:c>
      <x:c r="G4" s="32" t="n">
        <x:v>1</x:v>
      </x:c>
      <x:c r="H4" s="32" t="n">
        <x:v>1</x:v>
      </x:c>
      <x:c r="I4" s="32" t="n">
        <x:v>1</x:v>
      </x:c>
    </x:row>
    <x:row r="5">
      <x:c r="A5" s="25" t="str">
        <x:v>Kiangai</x:v>
      </x:c>
      <x:c r="B5" s="32" t="n">
        <x:v>1</x:v>
      </x:c>
      <x:c r="C5" s="32" t="n">
        <x:v>1</x:v>
      </x:c>
      <x:c r="D5" s="32" t="n">
        <x:v>1</x:v>
      </x:c>
      <x:c r="E5" s="32" t="n">
        <x:v>0</x:v>
      </x:c>
      <x:c r="F5" s="32" t="n">
        <x:v>1</x:v>
      </x:c>
      <x:c r="G5" s="32" t="n">
        <x:v>1</x:v>
      </x:c>
      <x:c r="H5" s="32" t="n">
        <x:v>1</x:v>
      </x:c>
      <x:c r="I5" s="32" t="n">
        <x:v>1</x:v>
      </x:c>
    </x:row>
    <x:row r="6">
      <x:c r="A6" s="25" t="str">
        <x:v>Thunguri</x:v>
      </x:c>
      <x:c r="B6" s="32" t="n">
        <x:v>1</x:v>
      </x:c>
      <x:c r="C6" s="32" t="n">
        <x:v>1</x:v>
      </x:c>
      <x:c r="D6" s="32" t="n">
        <x:v>1</x:v>
      </x:c>
      <x:c r="E6" s="32" t="n">
        <x:v>1</x:v>
      </x:c>
      <x:c r="F6" s="32" t="n">
        <x:v>0</x:v>
      </x:c>
      <x:c r="G6" s="32" t="n">
        <x:v>1</x:v>
      </x:c>
      <x:c r="H6" s="32" t="n">
        <x:v>1</x:v>
      </x:c>
      <x:c r="I6" s="32" t="n">
        <x:v>1</x:v>
      </x:c>
    </x:row>
    <x:row r="7">
      <x:c r="A7" s="25" t="str">
        <x:v>Kianjega</x:v>
      </x:c>
      <x:c r="B7" s="32" t="n">
        <x:v>1</x:v>
      </x:c>
      <x:c r="C7" s="32" t="n">
        <x:v>1</x:v>
      </x:c>
      <x:c r="D7" s="32" t="n">
        <x:v>1</x:v>
      </x:c>
      <x:c r="E7" s="32" t="n">
        <x:v>1</x:v>
      </x:c>
      <x:c r="F7" s="32" t="n">
        <x:v>1</x:v>
      </x:c>
      <x:c r="G7" s="32" t="n">
        <x:v>0</x:v>
      </x:c>
      <x:c r="H7" s="32" t="n">
        <x:v>1</x:v>
      </x:c>
      <x:c r="I7" s="32" t="n">
        <x:v>1</x:v>
      </x:c>
    </x:row>
    <x:row r="8">
      <x:c r="A8" s="25" t="str">
        <x:v>Chema</x:v>
      </x:c>
      <x:c r="B8" s="32" t="n">
        <x:v>1</x:v>
      </x:c>
      <x:c r="C8" s="32" t="n">
        <x:v>1</x:v>
      </x:c>
      <x:c r="D8" s="32" t="n">
        <x:v>1</x:v>
      </x:c>
      <x:c r="E8" s="32" t="n">
        <x:v>1</x:v>
      </x:c>
      <x:c r="F8" s="32" t="n">
        <x:v>1</x:v>
      </x:c>
      <x:c r="G8" s="32" t="n">
        <x:v>1</x:v>
      </x:c>
      <x:c r="H8" s="32" t="n">
        <x:v>0</x:v>
      </x:c>
      <x:c r="I8" s="32" t="n">
        <x:v>1</x:v>
      </x:c>
    </x:row>
    <x:row r="9">
      <x:c r="A9" s="25" t="str">
        <x:v>Mukangu</x:v>
      </x:c>
      <x:c r="B9" s="32" t="n">
        <x:v>1</x:v>
      </x:c>
      <x:c r="C9" s="32" t="n">
        <x:v>1</x:v>
      </x:c>
      <x:c r="D9" s="32" t="n">
        <x:v>1</x:v>
      </x:c>
      <x:c r="E9" s="32" t="n">
        <x:v>1</x:v>
      </x:c>
      <x:c r="F9" s="32" t="n">
        <x:v>1</x:v>
      </x:c>
      <x:c r="G9" s="32" t="n">
        <x:v>1</x:v>
      </x:c>
      <x:c r="H9" s="32" t="n">
        <x:v>1</x:v>
      </x:c>
      <x:c r="I9" s="3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24" hidden="0" customWidth="1"/>
    <x:col min="4" max="4" width="30" hidden="0" customWidth="1"/>
  </x:cols>
  <x:sheetData>
    <x:row r="1">
      <x:c r="A1" s="14" t="str">
        <x:v>Field / Symbol</x:v>
      </x:c>
      <x:c r="B1" s="14" t="str">
        <x:v>Meaning</x:v>
      </x:c>
      <x:c r="C1" s="14" t="str">
        <x:v>Unit / Type</x:v>
      </x:c>
      <x:c r="D1" s="14" t="str">
        <x:v>Use in Model</x:v>
      </x:c>
    </x:row>
    <x:row r="2">
      <x:c r="A2" s="15" t="str">
        <x:v>node_id</x:v>
      </x:c>
      <x:c r="B2" s="15" t="str">
        <x:v>Integer node identifier used by classical/quantum models</x:v>
      </x:c>
      <x:c r="C2" s="15" t="str">
        <x:v>integer</x:v>
      </x:c>
      <x:c r="D2" s="15" t="str">
        <x:v>0-7</x:v>
      </x:c>
    </x:row>
    <x:row r="3">
      <x:c r="A3" s="15" t="str">
        <x:v>location</x:v>
      </x:c>
      <x:c r="B3" s="15" t="str">
        <x:v>Depot or factory name</x:v>
      </x:c>
      <x:c r="C3" s="15" t="str">
        <x:v>text</x:v>
      </x:c>
      <x:c r="D3" s="15" t="str">
        <x:v>Karatina, Ragati, ...</x:v>
      </x:c>
    </x:row>
    <x:row r="4">
      <x:c r="A4" s="15" t="str">
        <x:v>type</x:v>
      </x:c>
      <x:c r="B4" s="15" t="str">
        <x:v>Node role</x:v>
      </x:c>
      <x:c r="C4" s="15" t="str">
        <x:v>categorical</x:v>
      </x:c>
      <x:c r="D4" s="15" t="str">
        <x:v>Depot / Factory</x:v>
      </x:c>
    </x:row>
    <x:row r="5">
      <x:c r="A5" s="15" t="str">
        <x:v>latitude</x:v>
      </x:c>
      <x:c r="B5" s="15" t="str">
        <x:v>Latitude of node</x:v>
      </x:c>
      <x:c r="C5" s="15" t="str">
        <x:v>decimal degrees</x:v>
      </x:c>
      <x:c r="D5" s="15" t="str">
        <x:v>Location data</x:v>
      </x:c>
    </x:row>
    <x:row r="6">
      <x:c r="A6" s="15" t="str">
        <x:v>longitude</x:v>
      </x:c>
      <x:c r="B6" s="15" t="str">
        <x:v>Longitude of node</x:v>
      </x:c>
      <x:c r="C6" s="15" t="str">
        <x:v>decimal degrees</x:v>
      </x:c>
      <x:c r="D6" s="15" t="str">
        <x:v>Location data</x:v>
      </x:c>
    </x:row>
    <x:row r="7">
      <x:c r="A7" s="15" t="str">
        <x:v>demand_tonnes</x:v>
      </x:c>
      <x:c r="B7" s="15" t="str">
        <x:v>Fertilizer demand at factory</x:v>
      </x:c>
      <x:c r="C7" s="15" t="str">
        <x:v>tonnes</x:v>
      </x:c>
      <x:c r="D7" s="15" t="str">
        <x:v>0 for depot</x:v>
      </x:c>
    </x:row>
    <x:row r="8">
      <x:c r="A8" s="15" t="str">
        <x:v>depot_stock_tonnes</x:v>
      </x:c>
      <x:c r="B8" s="15" t="str">
        <x:v>Fertilizer stock available at depot</x:v>
      </x:c>
      <x:c r="C8" s="15" t="str">
        <x:v>tonnes</x:v>
      </x:c>
      <x:c r="D8" s="15" t="str">
        <x:v>410 at Karatina</x:v>
      </x:c>
    </x:row>
    <x:row r="9">
      <x:c r="A9" s="15" t="str">
        <x:v>D_ij</x:v>
      </x:c>
      <x:c r="B9" s="15" t="str">
        <x:v>OSM road distance between node i and j</x:v>
      </x:c>
      <x:c r="C9" s="15" t="str">
        <x:v>km</x:v>
      </x:c>
      <x:c r="D9" s="15" t="str">
        <x:v>Distance_Matrix</x:v>
      </x:c>
    </x:row>
    <x:row r="10">
      <x:c r="A10" s="15" t="str">
        <x:v>T_ij</x:v>
      </x:c>
      <x:c r="B10" s="15" t="str">
        <x:v>OSM travel time between node i and j</x:v>
      </x:c>
      <x:c r="C10" s="15" t="str">
        <x:v>hours</x:v>
      </x:c>
      <x:c r="D10" s="15" t="str">
        <x:v>Travel_Time_Matrix</x:v>
      </x:c>
    </x:row>
    <x:row r="11">
      <x:c r="A11" s="15" t="str">
        <x:v>A_ij</x:v>
      </x:c>
      <x:c r="B11" s="15" t="str">
        <x:v>Route feasibility indicator</x:v>
      </x:c>
      <x:c r="C11" s="15" t="str">
        <x:v>binary</x:v>
      </x:c>
      <x:c r="D11" s="15" t="str">
        <x:v>1 allowed, 0 prohibited</x:v>
      </x:c>
    </x:row>
    <x:row r="12">
      <x:c r="A12" s="15" t="str">
        <x:v>truck_capacity</x:v>
      </x:c>
      <x:c r="B12" s="15" t="str">
        <x:v>Maximum truck load</x:v>
      </x:c>
      <x:c r="C12" s="15" t="str">
        <x:v>tonnes</x:v>
      </x:c>
      <x:c r="D12" s="15" t="str">
        <x:v>10</x:v>
      </x:c>
    </x:row>
    <x:row r="13">
      <x:c r="A13" s="15" t="str">
        <x:v>transport_rate</x:v>
      </x:c>
      <x:c r="B13" s="15" t="str">
        <x:v>Transport charge</x:v>
      </x:c>
      <x:c r="C13" s="15" t="str">
        <x:v>KSh/tonne-km</x:v>
      </x:c>
      <x:c r="D13" s="15" t="str">
        <x:v>16</x:v>
      </x:c>
    </x:row>
    <x:row r="14">
      <x:c r="A14" s="15" t="str">
        <x:v>max_route_time</x:v>
      </x:c>
      <x:c r="B14" s="15" t="str">
        <x:v>Maximum route duration</x:v>
      </x:c>
      <x:c r="C14" s="15" t="str">
        <x:v>hours</x:v>
      </x:c>
      <x:c r="D14" s="15" t="str">
        <x:v>8</x:v>
      </x:c>
    </x:row>
    <x:row r="15">
      <x:c r="A15" s="15" t="str">
        <x:v>dispatch_period</x:v>
      </x:c>
      <x:c r="B15" s="15" t="str">
        <x:v>Planning/dispatch horizon</x:v>
      </x:c>
      <x:c r="C15" s="15" t="str">
        <x:v>days</x:v>
      </x:c>
      <x:c r="D15" s="15" t="str">
        <x:v>10</x:v>
      </x:c>
    </x:row>
    <x:row r="16">
      <x:c r="A16" s="15" t="str">
        <x:v>x_ijk</x:v>
      </x:c>
      <x:c r="B16" s="15" t="str">
        <x:v>Binary routing decision: truck k uses arc i-&gt;j</x:v>
      </x:c>
      <x:c r="C16" s="15" t="str">
        <x:v>binary decision variable</x:v>
      </x:c>
      <x:c r="D16" s="15" t="str">
        <x:v>Quantum/MILP variable</x:v>
      </x:c>
    </x:row>
    <x:row r="17">
      <x:c r="A17" s="15" t="str">
        <x:v>q_ik</x:v>
      </x:c>
      <x:c r="B17" s="15" t="str">
        <x:v>Tonnes delivered to factory i by truck k</x:v>
      </x:c>
      <x:c r="C17" s="15" t="str">
        <x:v>continuous/classically handled</x:v>
      </x:c>
      <x:c r="D17" s="15" t="str">
        <x:v>Delivery variable</x:v>
      </x:c>
    </x:row>
    <x:row r="18">
      <x:c r="A18" s="15" t="str">
        <x:v>L_ijk</x:v>
      </x:c>
      <x:c r="B18" s="15" t="str">
        <x:v>Tonnes carried on arc i-&gt;j by truck k</x:v>
      </x:c>
      <x:c r="C18" s="15" t="str">
        <x:v>continuous/classically handled</x:v>
      </x:c>
      <x:c r="D18" s="15" t="str">
        <x:v>Load-flow variable</x:v>
      </x:c>
    </x:row>
  </x:sheetData>
  <x:pageMargins left="0.7" right="0.7" top="0.75" bottom="0.75" header="0.3" footer="0.3"/>
  <x:tableParts count="1">
    <x:tablePart xmlns:r="http://schemas.openxmlformats.org/officeDocument/2006/relationships" r:id="R6c0e58f7badf414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16" hidden="0" customWidth="1"/>
    <x:col min="3" max="3" width="13.130000114440918" hidden="0" customWidth="1"/>
    <x:col min="4" max="4" width="7.380000114440918" hidden="0" customWidth="1"/>
    <x:col min="5" max="5" width="16.3799991607666" hidden="0" customWidth="1"/>
    <x:col min="7" max="7" width="22.8799991607666" hidden="0" customWidth="1"/>
    <x:col min="8" max="8" width="4.75" hidden="0" customWidth="1"/>
  </x:cols>
  <x:sheetData>
    <x:row r="1">
      <x:c r="A1" s="5" t="str">
        <x:v>Node_ID</x:v>
      </x:c>
      <x:c r="B1" s="5" t="str">
        <x:v>Location</x:v>
      </x:c>
      <x:c r="C1" s="5" t="str">
        <x:v>Demand_tonnes</x:v>
      </x:c>
      <x:c r="D1" s="5" t="str">
        <x:v>Is_Depot</x:v>
      </x:c>
      <x:c r="E1" s="5" t="str">
        <x:v>Depot_Stock_tonnes</x:v>
      </x:c>
      <x:c r="G1" s="5" t="str">
        <x:v>Quantum Parameter</x:v>
      </x:c>
      <x:c r="H1" s="5" t="str">
        <x:v>Value</x:v>
      </x:c>
    </x:row>
    <x:row r="2">
      <x:c r="A2" t="n">
        <x:v>0</x:v>
      </x:c>
      <x:c r="B2" t="str">
        <x:v>Karatina</x:v>
      </x:c>
      <x:c r="C2" s="12" t="n">
        <x:v>0</x:v>
      </x:c>
      <x:c r="D2" s="12" t="n">
        <x:v>1</x:v>
      </x:c>
      <x:c r="E2" s="12" t="n">
        <x:v>410</x:v>
      </x:c>
      <x:c r="G2" t="str">
        <x:v>Truck_Capacity_t</x:v>
      </x:c>
      <x:c r="H2" s="12" t="n">
        <x:v>10</x:v>
      </x:c>
    </x:row>
    <x:row r="3">
      <x:c r="A3" t="n">
        <x:v>1</x:v>
      </x:c>
      <x:c r="B3" t="str">
        <x:v>Ragati</x:v>
      </x:c>
      <x:c r="C3" s="12" t="n">
        <x:v>28.38</x:v>
      </x:c>
      <x:c r="D3" s="12" t="n">
        <x:v>0</x:v>
      </x:c>
      <x:c r="E3" s="12" t="n">
        <x:v>0</x:v>
      </x:c>
      <x:c r="G3" t="str">
        <x:v>Transport_Rate_KSh_per_tkm</x:v>
      </x:c>
      <x:c r="H3" s="12" t="n">
        <x:v>16</x:v>
      </x:c>
    </x:row>
    <x:row r="4">
      <x:c r="A4" t="n">
        <x:v>2</x:v>
      </x:c>
      <x:c r="B4" t="str">
        <x:v>Nguguini</x:v>
      </x:c>
      <x:c r="C4" s="12" t="n">
        <x:v>73.092</x:v>
      </x:c>
      <x:c r="D4" s="12" t="n">
        <x:v>0</x:v>
      </x:c>
      <x:c r="E4" s="12" t="n">
        <x:v>0</x:v>
      </x:c>
      <x:c r="G4" t="str">
        <x:v>Max_Route_Time_hr</x:v>
      </x:c>
      <x:c r="H4" s="12" t="n">
        <x:v>8</x:v>
      </x:c>
    </x:row>
    <x:row r="5">
      <x:c r="A5" t="n">
        <x:v>3</x:v>
      </x:c>
      <x:c r="B5" t="str">
        <x:v>Kiangai</x:v>
      </x:c>
      <x:c r="C5" s="12" t="n">
        <x:v>36.489</x:v>
      </x:c>
      <x:c r="D5" s="12" t="n">
        <x:v>0</x:v>
      </x:c>
      <x:c r="E5" s="12" t="n">
        <x:v>0</x:v>
      </x:c>
      <x:c r="G5" t="str">
        <x:v>Dispatch_Period_days</x:v>
      </x:c>
      <x:c r="H5" s="12" t="n">
        <x:v>10</x:v>
      </x:c>
    </x:row>
    <x:row r="6">
      <x:c r="A6" t="n">
        <x:v>4</x:v>
      </x:c>
      <x:c r="B6" t="str">
        <x:v>Thunguri</x:v>
      </x:c>
      <x:c r="C6" s="12" t="n">
        <x:v>37.17</x:v>
      </x:c>
      <x:c r="D6" s="12" t="n">
        <x:v>0</x:v>
      </x:c>
      <x:c r="E6" s="12" t="n">
        <x:v>0</x:v>
      </x:c>
      <x:c r="G6" t="str">
        <x:v>Total_Demand_t</x:v>
      </x:c>
      <x:c r="H6" s="12" t="n">
        <x:v>233.7</x:v>
      </x:c>
    </x:row>
    <x:row r="7">
      <x:c r="A7" t="n">
        <x:v>5</x:v>
      </x:c>
      <x:c r="B7" t="str">
        <x:v>Kianjega</x:v>
      </x:c>
      <x:c r="C7" s="12" t="n">
        <x:v>24.522</x:v>
      </x:c>
      <x:c r="D7" s="12" t="n">
        <x:v>0</x:v>
      </x:c>
      <x:c r="E7" s="12" t="n">
        <x:v>0</x:v>
      </x:c>
    </x:row>
    <x:row r="8">
      <x:c r="A8" t="n">
        <x:v>6</x:v>
      </x:c>
      <x:c r="B8" t="str">
        <x:v>Chema</x:v>
      </x:c>
      <x:c r="C8" s="12" t="n">
        <x:v>10.848</x:v>
      </x:c>
      <x:c r="D8" s="12" t="n">
        <x:v>0</x:v>
      </x:c>
      <x:c r="E8" s="12" t="n">
        <x:v>0</x:v>
      </x:c>
    </x:row>
    <x:row r="9">
      <x:c r="A9" t="n">
        <x:v>7</x:v>
      </x:c>
      <x:c r="B9" t="str">
        <x:v>Mukangu</x:v>
      </x:c>
      <x:c r="C9" s="12" t="n">
        <x:v>23.199</x:v>
      </x:c>
      <x:c r="D9" s="12" t="n">
        <x:v>0</x:v>
      </x:c>
      <x:c r="E9" s="12" t="n">
        <x:v>0</x:v>
      </x:c>
    </x:row>
  </x:sheetData>
  <x:pageMargins left="0.7" right="0.7" top="0.75" bottom="0.75" header="0.3" footer="0.3"/>
</x:worksheet>
</file>